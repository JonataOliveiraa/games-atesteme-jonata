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a8af4cd9840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8b24fdfbba0f4a48"/>
    <x:sheet xmlns:r="http://schemas.openxmlformats.org/officeDocument/2006/relationships" name="Propostas" sheetId="2" r:id="Rbc7113e663f146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sz val="11"/>
      <x:color rgb="FF78350F"/>
      <x:name val="Carlito"/>
    </x:font>
    <x:font>
      <x:b/>
      <x:sz val="11"/>
      <x:color rgb="FF111827"/>
      <x:name val="Carlito"/>
    </x:font>
    <x:font>
      <x:b/>
      <x:i/>
      <x:sz val="11"/>
      <x:color rgb="FFFFFFFF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374151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DCFCE7"/>
      </x:patternFill>
    </x:fill>
    <x:fill>
      <x:patternFill patternType="solid">
        <x:fgColor rgb="FF16A34A"/>
      </x:patternFill>
    </x:fill>
    <x:fill>
      <x:patternFill patternType="solid">
        <x:fgColor rgb="FFFEF9C3"/>
      </x:patternFill>
    </x:fill>
    <x:fill>
      <x:patternFill patternType="solid">
        <x:fgColor rgb="FFFACC15"/>
      </x:patternFill>
    </x:fill>
    <x:fill>
      <x:patternFill patternType="solid">
        <x:fgColor rgb="FFF3E8FF"/>
      </x:patternFill>
    </x:fill>
    <x:fill>
      <x:patternFill patternType="solid">
        <x:fgColor rgb="FF7E22CE"/>
      </x:patternFill>
    </x:fill>
    <x:fill>
      <x:patternFill patternType="solid">
        <x:fgColor rgb="FFFEE2E2"/>
      </x:patternFill>
    </x:fill>
    <x:fill>
      <x:patternFill patternType="solid">
        <x:fgColor rgb="FFDC2626"/>
      </x:patternFill>
    </x:fill>
    <x:fill>
      <x:patternFill patternType="solid">
        <x:fgColor rgb="FFF3F4F6"/>
      </x:patternFill>
    </x:fill>
    <x:fill>
      <x:patternFill patternType="solid">
        <x:fgColor rgb="FF6B7280"/>
      </x:patternFill>
    </x:fill>
    <x:fill>
      <x:patternFill patternType="solid">
        <x:fgColor rgb="FFF97316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wrapText="1"/>
    </x:xf>
    <x:xf numFmtId="0" fontId="0" fillId="10" borderId="1" xfId="0" applyNumberFormat="1" applyFont="1" applyFill="1" applyBorder="1"/>
    <x:xf numFmtId="0" fontId="0" fillId="10" borderId="1" xfId="0" applyNumberFormat="1" applyFont="1" applyFill="1" applyBorder="1" applyAlignment="1">
      <x:alignment wrapText="1"/>
    </x:xf>
    <x:xf numFmtId="0" fontId="0" fillId="11" borderId="1" xfId="0" applyNumberFormat="1" applyFont="1" applyFill="1" applyBorder="1" applyAlignment="1">
      <x:alignment wrapText="1"/>
    </x:xf>
    <x:xf numFmtId="0" fontId="5" fillId="11" borderId="1" xfId="0" applyNumberFormat="1" applyFont="1" applyFill="1" applyBorder="1" applyAlignment="1">
      <x:alignment wrapText="1"/>
    </x:xf>
    <x:xf numFmtId="0" fontId="0" fillId="12" borderId="1" xfId="0" applyNumberFormat="1" applyFont="1" applyFill="1" applyBorder="1"/>
    <x:xf numFmtId="0" fontId="0" fillId="12" borderId="1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3" fillId="13" borderId="1" xfId="0" applyNumberFormat="1" applyFont="1" applyFill="1" applyBorder="1" applyAlignment="1">
      <x:alignment wrapText="1"/>
    </x:xf>
    <x:xf numFmtId="0" fontId="0" fillId="14" borderId="1" xfId="0" applyNumberFormat="1" applyFont="1" applyFill="1" applyBorder="1"/>
    <x:xf numFmtId="0" fontId="0" fillId="14" borderId="1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wrapText="1"/>
    </x:xf>
    <x:xf numFmtId="0" fontId="3" fillId="15" borderId="1" xfId="0" applyNumberFormat="1" applyFont="1" applyFill="1" applyBorder="1" applyAlignment="1">
      <x:alignment wrapText="1"/>
    </x:xf>
    <x:xf numFmtId="0" fontId="0" fillId="16" borderId="1" xfId="0" applyNumberFormat="1" applyFont="1" applyFill="1" applyBorder="1"/>
    <x:xf numFmtId="0" fontId="0" fillId="16" borderId="1" xfId="0" applyNumberFormat="1" applyFont="1" applyFill="1" applyBorder="1" applyAlignment="1">
      <x:alignment wrapText="1"/>
    </x:xf>
    <x:xf numFmtId="0" fontId="0" fillId="17" borderId="1" xfId="0" applyNumberFormat="1" applyFont="1" applyFill="1" applyBorder="1" applyAlignment="1">
      <x:alignment wrapText="1"/>
    </x:xf>
    <x:xf numFmtId="0" fontId="3" fillId="17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1" fillId="2" borderId="1" xfId="0" applyNumberFormat="1" applyFont="1" applyFill="1" applyBorder="1"/>
    <x:xf numFmtId="0" fontId="3" fillId="2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16" borderId="1" xfId="0" applyNumberFormat="1" applyFont="1" applyFill="1" applyBorder="1" applyAlignment="1">
      <x:alignment wrapText="1"/>
    </x:xf>
    <x:xf numFmtId="0" fontId="2" fillId="17" borderId="1" xfId="0" applyNumberFormat="1" applyFont="1" applyFill="1" applyBorder="1" applyAlignment="1">
      <x:alignment wrapText="1"/>
    </x:xf>
    <x:xf numFmtId="0" fontId="6" fillId="17" borderId="1" xfId="0" applyNumberFormat="1" applyFont="1" applyFill="1" applyBorder="1" applyAlignment="1">
      <x:alignment wrapText="1"/>
    </x:xf>
    <x:xf numFmtId="0" fontId="0" fillId="18" borderId="1" xfId="0" applyNumberFormat="1" applyFont="1" applyFill="1" applyBorder="1" applyAlignment="1">
      <x:alignment wrapText="1"/>
    </x:xf>
    <x:xf numFmtId="0" fontId="3" fillId="18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8d65ebbf3c42dc" /><Relationship Type="http://schemas.openxmlformats.org/officeDocument/2006/relationships/theme" Target="/xl/theme/theme1.xml" Id="R2cbe3060ea824d27" /><Relationship Type="http://schemas.openxmlformats.org/officeDocument/2006/relationships/sharedStrings" Target="/xl/sharedStrings.xml" Id="Rf4ab305555524615" /><Relationship Type="http://schemas.openxmlformats.org/officeDocument/2006/relationships/worksheet" Target="/xl/worksheets/sheet1.xml" Id="R8b24fdfbba0f4a48" /><Relationship Type="http://schemas.openxmlformats.org/officeDocument/2006/relationships/worksheet" Target="/xl/worksheets/sheet2.xml" Id="Rbc7113e663f146b2" /></Relationships>
</file>

<file path=xl/tables/table1.xml><?xml version="1.0" encoding="utf-8"?>
<x:table xmlns:x="http://schemas.openxmlformats.org/spreadsheetml/2006/main" id="1" name="TabelaPropostas" displayName="TabelaPropostas" ref="A1:I14" headerRowCount="1" totalsRowCount="0" totalsRowShown="0">
  <x:tableColumns count="9">
    <x:tableColumn id="1" name="Prefixo"/>
    <x:tableColumn id="2" name="Codigo"/>
    <x:tableColumn id="3" name="Jogo"/>
    <x:tableColumn id="4" name="Categoria"/>
    <x:tableColumn id="5" name="Problema resumido"/>
    <x:tableColumn id="6" name="Proposta resumida"/>
    <x:tableColumn id="7" name="Decisao"/>
    <x:tableColumn id="8" name="Impacto"/>
    <x:tableColumn id="9" name="Priorida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2ca08cdd624f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11.25" hidden="0" customWidth="1"/>
    <x:col min="3" max="3" width="7.5" hidden="0" customWidth="1"/>
    <x:col min="4" max="4" width="53.75" hidden="0" customWidth="1"/>
    <x:col min="5" max="5" width="10" hidden="0" customWidth="1"/>
    <x:col min="6" max="6" width="10" hidden="0" customWidth="1"/>
  </x:cols>
  <x:sheetData>
    <x:row r="1" ht="22.5" customHeight="1">
      <x:c r="A1" s="2" t="str">
        <x:v>Revisao resumida do catalogo v3</x:v>
      </x:c>
      <x:c r="B1" s="2"/>
      <x:c r="C1" s="2"/>
      <x:c r="D1" s="2"/>
      <x:c r="E1" s="2"/>
      <x:c r="F1" s="2"/>
    </x:row>
    <x:row r="2">
      <x:c r="A2" s="4" t="str">
        <x:v>Jogos duplicados, problemas pedagogicos e propostas de substituicao por prefixo EF.</x:v>
      </x:c>
      <x:c r="B2" s="4"/>
      <x:c r="C2" s="4"/>
      <x:c r="D2" s="4"/>
      <x:c r="E2" s="4"/>
      <x:c r="F2" s="4"/>
    </x:row>
    <x:row r="4">
      <x:c r="A4" s="10" t="str">
        <x:v>Prefixo</x:v>
      </x:c>
      <x:c r="B4" s="10" t="str">
        <x:v>Cor</x:v>
      </x:c>
      <x:c r="C4" s="10" t="str">
        <x:v>Qtd.</x:v>
      </x:c>
      <x:c r="D4" s="10" t="str">
        <x:v>Encaminhamento principal</x:v>
      </x:c>
    </x:row>
    <x:row r="5" ht="31.5" customHeight="1">
      <x:c r="A5" s="15" t="str">
        <x:v>EF01</x:v>
      </x:c>
      <x:c r="B5" s="15" t="str">
        <x:v>Azul</x:v>
      </x:c>
      <x:c r="C5" s="13" t="n">
        <x:f>COUNTIF('Propostas'!$A$2:$A$14,"EF01")</x:f>
        <x:v>0</x:v>
      </x:c>
      <x:c r="D5" s="13" t="str">
        <x:v>Sem item alterado nesta revisao; aparece apenas como comparacao.</x:v>
      </x:c>
    </x:row>
    <x:row r="6" ht="31.5" customHeight="1">
      <x:c r="A6" s="19" t="str">
        <x:v>EF02</x:v>
      </x:c>
      <x:c r="B6" s="19" t="str">
        <x:v>Verde</x:v>
      </x:c>
      <x:c r="C6" s="17" t="n">
        <x:f>COUNTIF('Propostas'!$A$2:$A$14,"EF02")</x:f>
        <x:v>1</x:v>
      </x:c>
      <x:c r="D6" s="17" t="str">
        <x:v>Reformular o runner para comparacao exploratoria de tecnologias.</x:v>
      </x:c>
    </x:row>
    <x:row r="7" ht="31.5" customHeight="1">
      <x:c r="A7" s="23" t="str">
        <x:v>EF03</x:v>
      </x:c>
      <x:c r="B7" s="23" t="str">
        <x:v>Amarelo</x:v>
      </x:c>
      <x:c r="C7" s="21" t="n">
        <x:f>COUNTIF('Propostas'!$A$2:$A$14,"EF03")</x:f>
        <x:v>1</x:v>
      </x:c>
      <x:c r="D7" s="21" t="str">
        <x:v>Trocar escolha de icone por gesto direcional de entrada/saida.</x:v>
      </x:c>
    </x:row>
    <x:row r="8" ht="31.5" customHeight="1">
      <x:c r="A8" s="27" t="str">
        <x:v>EF04</x:v>
      </x:c>
      <x:c r="B8" s="27" t="str">
        <x:v>Roxo</x:v>
      </x:c>
      <x:c r="C8" s="25" t="n">
        <x:f>COUNTIF('Propostas'!$A$2:$A$14,"EF04")</x:f>
        <x:v>2</x:v>
      </x:c>
      <x:c r="D8" s="25" t="str">
        <x:v>Remover repeticoes de runner/ritmo e alinhar binario, lacos e pixels.</x:v>
      </x:c>
    </x:row>
    <x:row r="9" ht="31.5" customHeight="1">
      <x:c r="A9" s="31" t="str">
        <x:v>EF05</x:v>
      </x:c>
      <x:c r="B9" s="31" t="str">
        <x:v>Vermelho</x:v>
      </x:c>
      <x:c r="C9" s="29" t="n">
        <x:f>COUNTIF('Propostas'!$A$2:$A$14,"EF05")</x:f>
        <x:v>5</x:v>
      </x:c>
      <x:c r="D9" s="29" t="str">
        <x:v>Concentrar logica, condicionais, direitos, criterios e armazenamento.</x:v>
      </x:c>
    </x:row>
    <x:row r="10" ht="31.5" customHeight="1">
      <x:c r="A10" s="35" t="str">
        <x:v>EF15</x:v>
      </x:c>
      <x:c r="B10" s="35" t="str">
        <x:v>Cinza</x:v>
      </x:c>
      <x:c r="C10" s="33" t="n">
        <x:f>COUNTIF('Propostas'!$A$2:$A$14,"EF15")</x:f>
        <x:v>4</x:v>
      </x:c>
      <x:c r="D10" s="33" t="str">
        <x:v>Tratar como bloco consolidado; descartar duplicacoes literais quando couber.</x:v>
      </x:c>
    </x:row>
    <x:row r="11">
      <x:c r="A11" s="11"/>
      <x:c r="B11" s="11"/>
      <x:c r="C11" s="11"/>
      <x:c r="D11" s="11"/>
    </x:row>
    <x:row r="12">
      <x:c r="A12" s="11"/>
      <x:c r="B12" s="11"/>
      <x:c r="C12" s="11"/>
      <x:c r="D12" s="11"/>
    </x:row>
    <x:row r="13">
      <x:c r="A13" s="10" t="str">
        <x:v>Indicador</x:v>
      </x:c>
      <x:c r="B13" s="10" t="str">
        <x:v>Valor</x:v>
      </x:c>
      <x:c r="C13" s="11"/>
      <x:c r="D13" s="11"/>
    </x:row>
    <x:row r="14">
      <x:c r="A14" s="11" t="str">
        <x:v>Itens principais revisados</x:v>
      </x:c>
      <x:c r="B14" s="11" t="n">
        <x:f>COUNTA('Propostas'!$B$2:$B$14)</x:f>
        <x:v>13</x:v>
      </x:c>
      <x:c r="C14" s="11"/>
      <x:c r="D14" s="11"/>
    </x:row>
    <x:row r="15">
      <x:c r="A15" s="11" t="str">
        <x:v>Reformular</x:v>
      </x:c>
      <x:c r="B15" s="11" t="n">
        <x:f>COUNTIF('Propostas'!$G$2:$G$14,"Reformular")</x:f>
        <x:v>9</x:v>
      </x:c>
      <x:c r="C15" s="11"/>
      <x:c r="D15" s="11"/>
    </x:row>
    <x:row r="16">
      <x:c r="A16" s="11" t="str">
        <x:v>Manter jogo existente</x:v>
      </x:c>
      <x:c r="B16" s="11" t="n">
        <x:f>COUNTIF('Propostas'!$G$2:$G$14,"Manter existente")</x:f>
        <x:v>2</x:v>
      </x:c>
      <x:c r="C16" s="11"/>
      <x:c r="D16" s="11"/>
    </x:row>
    <x:row r="17">
      <x:c r="A17" s="11" t="str">
        <x:v>Descartar / cobrir por outro jogo</x:v>
      </x:c>
      <x:c r="B17" s="11" t="n">
        <x:f>COUNTIF('Propostas'!$G$2:$G$14,"Descartar / cobrir")</x:f>
        <x:v>2</x:v>
      </x:c>
      <x:c r="C17" s="11"/>
      <x:c r="D17" s="11"/>
    </x:row>
    <x:row r="20" ht="36" customHeight="1">
      <x:c r="A20" s="9" t="str">
        <x:v>Nota: EF05CO011 foi mantido como aparece no texto-fonte; a observacao da linha recomenda padronizar para EF05CO11 internamente se for melhor para catalogacao.</x:v>
      </x:c>
      <x:c r="B20" s="9"/>
      <x:c r="C20" s="9"/>
      <x:c r="D20" s="9"/>
      <x:c r="E20" s="9"/>
      <x:c r="F20" s="9"/>
    </x:row>
  </x:sheetData>
  <x:mergeCells>
    <x:mergeCell ref="A1:F1"/>
    <x:mergeCell ref="A2:F2"/>
    <x:mergeCell ref="A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.75" hidden="0" customWidth="1"/>
    <x:col min="3" max="3" width="18.75" hidden="0" customWidth="1"/>
    <x:col min="4" max="4" width="15.75" hidden="0" customWidth="1"/>
    <x:col min="5" max="5" width="31.8799991607666" hidden="0" customWidth="1"/>
    <x:col min="6" max="6" width="33.75" hidden="0" customWidth="1"/>
    <x:col min="7" max="7" width="15" hidden="0" customWidth="1"/>
    <x:col min="8" max="8" width="30.6299991607666" hidden="0" customWidth="1"/>
    <x:col min="9" max="9" width="10.5" hidden="0" customWidth="1"/>
  </x:cols>
  <x:sheetData>
    <x:row r="1" ht="21" customHeight="1">
      <x:c r="A1" s="37" t="str">
        <x:v>Prefixo</x:v>
      </x:c>
      <x:c r="B1" s="37" t="str">
        <x:v>Codigo</x:v>
      </x:c>
      <x:c r="C1" s="37" t="str">
        <x:v>Jogo</x:v>
      </x:c>
      <x:c r="D1" s="37" t="str">
        <x:v>Categoria</x:v>
      </x:c>
      <x:c r="E1" s="37" t="str">
        <x:v>Problema resumido</x:v>
      </x:c>
      <x:c r="F1" s="37" t="str">
        <x:v>Proposta resumida</x:v>
      </x:c>
      <x:c r="G1" s="38" t="str">
        <x:v>Decisao</x:v>
      </x:c>
      <x:c r="H1" s="38" t="str">
        <x:v>Impacto</x:v>
      </x:c>
      <x:c r="I1" s="38" t="str">
        <x:v>Prioridade</x:v>
      </x:c>
    </x:row>
    <x:row r="2" ht="51" customHeight="1">
      <x:c r="A2" s="44" t="str">
        <x:v>EF15</x:v>
      </x:c>
      <x:c r="B2" s="44" t="str">
        <x:v>EF15CO01</x:v>
      </x:c>
      <x:c r="C2" s="42" t="str">
        <x:v>O Misterio do Arquivo Vivo</x:v>
      </x:c>
      <x:c r="D2" s="42" t="str">
        <x:v>Clones transversais</x:v>
      </x:c>
      <x:c r="E2" s="42" t="str">
        <x:v>Mesmo formato point-and-click do EF02CO01; a crianca escolhe a estante sem comparar estruturas.</x:v>
      </x:c>
      <x:c r="F2" s="42" t="str">
        <x:v>Usar deslize horizontal para remontar a mesma informacao em fila, grade, ficha, teia ou valores soltos.</x:v>
      </x:c>
      <x:c r="G2" s="33" t="str">
        <x:v>Reformular</x:v>
      </x:c>
      <x:c r="H2" s="33" t="str">
        <x:v>Mostra quando uma estrutura facilita a busca e diferencia o jogo do EF02CO01.</x:v>
      </x:c>
      <x:c r="I2" s="46" t="str">
        <x:v>Alta</x:v>
      </x:c>
    </x:row>
    <x:row r="3" ht="51" customHeight="1">
      <x:c r="A3" s="35" t="str">
        <x:v>EF15</x:v>
      </x:c>
      <x:c r="B3" s="35" t="str">
        <x:v>EF15CO02</x:v>
      </x:c>
      <x:c r="C3" s="33" t="str">
        <x:v>Maratona do Algoritmo</x:v>
      </x:c>
      <x:c r="D3" s="33" t="str">
        <x:v>Clones transversais</x:v>
      </x:c>
      <x:c r="E3" s="33" t="str">
        <x:v>Replica o EF01CO03 com cartas novas e nao permite ver nem depurar o algoritmo completo.</x:v>
      </x:c>
      <x:c r="F3" s="33" t="str">
        <x:v>Separar montagem e execucao: arrastar comandos para slots, rodar tudo e voltar ao ponto de falha.</x:v>
      </x:c>
      <x:c r="G3" s="33" t="str">
        <x:v>Reformular</x:v>
      </x:c>
      <x:c r="H3" s="33" t="str">
        <x:v>Transforma resposta por impulso em construcao e simulacao de algoritmo.</x:v>
      </x:c>
      <x:c r="I3" s="46" t="str">
        <x:v>Alta</x:v>
      </x:c>
    </x:row>
    <x:row r="4" ht="51" customHeight="1">
      <x:c r="A4" s="35" t="str">
        <x:v>EF15</x:v>
      </x:c>
      <x:c r="B4" s="35" t="str">
        <x:v>EF15CO03</x:v>
      </x:c>
      <x:c r="C4" s="33" t="str">
        <x:v>Trunfo da Logica</x:v>
      </x:c>
      <x:c r="D4" s="33" t="str">
        <x:v>Clones transversais</x:v>
      </x:c>
      <x:c r="E4" s="33" t="str">
        <x:v>Duplica literalmente a habilidade do EF05CO03 e ainda fica restrito a apontar a frase verdadeira.</x:v>
      </x:c>
      <x:c r="F4" s="33" t="str">
        <x:v>Nao manter jogo separado; cobrir pelo EF05CO03 reformulado com combinacao de sentencas.</x:v>
      </x:c>
      <x:c r="G4" s="33" t="str">
        <x:v>Descartar / cobrir</x:v>
      </x:c>
      <x:c r="H4" s="33" t="str">
        <x:v>Evita duplicacao e concentra a mecanica correta no 5o ano.</x:v>
      </x:c>
      <x:c r="I4" s="46" t="str">
        <x:v>Alta</x:v>
      </x:c>
    </x:row>
    <x:row r="5" ht="51" customHeight="1">
      <x:c r="A5" s="35" t="str">
        <x:v>EF15</x:v>
      </x:c>
      <x:c r="B5" s="35" t="str">
        <x:v>EF15CO04</x:v>
      </x:c>
      <x:c r="C5" s="33" t="str">
        <x:v>Canteiro de Obras</x:v>
      </x:c>
      <x:c r="D5" s="33" t="str">
        <x:v>Clones transversais</x:v>
      </x:c>
      <x:c r="E5" s="33" t="str">
        <x:v>Repete corte em partes do EF03CO03 e nao pratica combinacao de solucoes.</x:v>
      </x:c>
      <x:c r="F5" s="33" t="str">
        <x:v>Comecar com sub-obras ja divididas e distribuir tarefas em duas trilhas paralelas com relogio vivo.</x:v>
      </x:c>
      <x:c r="G5" s="33" t="str">
        <x:v>Descartar / cobrir</x:v>
      </x:c>
      <x:c r="H5" s="33" t="str">
        <x:v>EF03CO03 fica com decomposicao; combinacao pode ser tratada sem jogo transversal duplicado.</x:v>
      </x:c>
      <x:c r="I5" s="46" t="str">
        <x:v>Alta</x:v>
      </x:c>
    </x:row>
    <x:row r="6" ht="51" customHeight="1">
      <x:c r="A6" s="19" t="str">
        <x:v>EF02</x:v>
      </x:c>
      <x:c r="B6" s="19" t="str">
        <x:v>EF02CO05</x:v>
      </x:c>
      <x:c r="C6" s="17" t="str">
        <x:v>Corrida do Cotidiano</x:v>
      </x:c>
      <x:c r="D6" s="17" t="str">
        <x:v>Runners repetidos</x:v>
      </x:c>
      <x:c r="E6" s="17" t="str">
        <x:v>Terceiriza comparacao para uma corrida de faixa; nao deixa explorar caracteristicas das tecnologias.</x:v>
      </x:c>
      <x:c r="F6" s="17" t="str">
        <x:v>Trocar por seletor circular de aparelhos com previa da cena e album lateral de tecnologias.</x:v>
      </x:c>
      <x:c r="G6" s="17" t="str">
        <x:v>Reformular</x:v>
      </x:c>
      <x:c r="H6" s="17" t="str">
        <x:v>Introduz gesto de girar e permite comparar usos dentro e fora da escola.</x:v>
      </x:c>
      <x:c r="I6" s="17" t="str">
        <x:v>Media</x:v>
      </x:c>
    </x:row>
    <x:row r="7" ht="51" customHeight="1">
      <x:c r="A7" s="27" t="str">
        <x:v>EF04</x:v>
      </x:c>
      <x:c r="B7" s="27" t="str">
        <x:v>EF04CO04</x:v>
      </x:c>
      <x:c r="C7" s="25" t="str">
        <x:v>Pista Binaria</x:v>
      </x:c>
      <x:c r="D7" s="25" t="str">
        <x:v>Runners repetidos</x:v>
      </x:c>
      <x:c r="E7" s="25" t="str">
        <x:v>O runner faz seguir instrucoes; nao evidencia codificacao binaria nem ASCII.</x:v>
      </x:c>
      <x:c r="F7" s="25" t="str">
        <x:v>Usar painel de sete interruptores para montar bits de letras, com visor decimal em tempo real.</x:v>
      </x:c>
      <x:c r="G7" s="25" t="str">
        <x:v>Reformular</x:v>
      </x:c>
      <x:c r="H7" s="25" t="str">
        <x:v>Codificacao passa a acontecer pela mao da crianca e deixa EF04CO05 com pixels/RGB.</x:v>
      </x:c>
      <x:c r="I7" s="46" t="str">
        <x:v>Alta</x:v>
      </x:c>
    </x:row>
    <x:row r="8" ht="51" customHeight="1">
      <x:c r="A8" s="27" t="str">
        <x:v>EF04</x:v>
      </x:c>
      <x:c r="B8" s="27" t="str">
        <x:v>EF04CO03</x:v>
      </x:c>
      <x:c r="C8" s="25" t="str">
        <x:v>Danca Aninhada</x:v>
      </x:c>
      <x:c r="D8" s="25" t="str">
        <x:v>Jogos de ritmo</x:v>
      </x:c>
      <x:c r="E8" s="25" t="str">
        <x:v>O aninhamento e narrado; a crianca bate no tempo e responde contagens, mas nao cria o algoritmo.</x:v>
      </x:c>
      <x:c r="F8" s="25" t="str">
        <x:v>Substituir por predio com contadores LAVAR/SUBIR e nivel final de montagem de lacos aninhados.</x:v>
      </x:c>
      <x:c r="G8" s="25" t="str">
        <x:v>Reformular</x:v>
      </x:c>
      <x:c r="H8" s="25" t="str">
        <x:v>Deixa visivel o laco interno zerando dentro do laco externo e inclui iteracoes definidas/indefinidas.</x:v>
      </x:c>
      <x:c r="I8" s="46" t="str">
        <x:v>Alta</x:v>
      </x:c>
    </x:row>
    <x:row r="9" ht="51" customHeight="1">
      <x:c r="A9" s="23" t="str">
        <x:v>EF03</x:v>
      </x:c>
      <x:c r="B9" s="23" t="str">
        <x:v>EF03CO06</x:v>
      </x:c>
      <x:c r="C9" s="21" t="str">
        <x:v>Fase de Entrada e Saida</x:v>
      </x:c>
      <x:c r="D9" s="21" t="str">
        <x:v>Quiz de cartas</x:v>
      </x:c>
      <x:c r="E9" s="21" t="str">
        <x:v>Escolher icone nao pratica o sentido entrada/saida; em duas opcoes ha muito acerto por acaso.</x:v>
      </x:c>
      <x:c r="F9" s="21" t="str">
        <x:v>Usar traco direcional: dispositivo para computador na entrada, computador para dispositivo na saida.</x:v>
      </x:c>
      <x:c r="G9" s="21" t="str">
        <x:v>Reformular</x:v>
      </x:c>
      <x:c r="H9" s="21" t="str">
        <x:v>A direcao do gesto vira a resposta e reduz ambiguidade pedagogica.</x:v>
      </x:c>
      <x:c r="I9" s="21" t="str">
        <x:v>Media</x:v>
      </x:c>
    </x:row>
    <x:row r="10" ht="51" customHeight="1">
      <x:c r="A10" s="31" t="str">
        <x:v>EF05</x:v>
      </x:c>
      <x:c r="B10" s="31" t="str">
        <x:v>EF05CO03</x:v>
      </x:c>
      <x:c r="C10" s="29" t="str">
        <x:v>Portoes Logicos</x:v>
      </x:c>
      <x:c r="D10" s="29" t="str">
        <x:v>Quiz de cartas</x:v>
      </x:c>
      <x:c r="E10" s="29" t="str">
        <x:v>Hoje julga verdadeiro/falso como no 3o ano, mas a habilidade pede operar e combinar sentencas.</x:v>
      </x:c>
      <x:c r="F10" s="29" t="str">
        <x:v>Arrastar frases umas sobre as outras com conectores E/OU e toque longo para aplicar NAO.</x:v>
      </x:c>
      <x:c r="G10" s="29" t="str">
        <x:v>Reformular</x:v>
      </x:c>
      <x:c r="H10" s="29" t="str">
        <x:v>Mostra parcelas e resultado da operacao logica, cobrindo tambem o EF15CO03.</x:v>
      </x:c>
      <x:c r="I10" s="46" t="str">
        <x:v>Alta</x:v>
      </x:c>
    </x:row>
    <x:row r="11" ht="51" customHeight="1">
      <x:c r="A11" s="31" t="str">
        <x:v>EF05</x:v>
      </x:c>
      <x:c r="B11" s="31" t="str">
        <x:v>EF05CO04</x:v>
      </x:c>
      <x:c r="C11" s="29" t="str">
        <x:v>Robo Sorrateiro</x:v>
      </x:c>
      <x:c r="D11" s="29" t="str">
        <x:v>Quiz de cartas</x:v>
      </x:c>
      <x:c r="E11" s="29" t="str">
        <x:v>Escolhe cartas condicionais prontas e regride frente ao Cidade das Decisoes ja implementado.</x:v>
      </x:c>
      <x:c r="F11" s="29" t="str">
        <x:v>Voltar a encaixar slots SE, ENTAO e SENAO; testar a mesma regra em cenarios diferentes.</x:v>
      </x:c>
      <x:c r="G11" s="29" t="str">
        <x:v>Reformular</x:v>
      </x:c>
      <x:c r="H11" s="29" t="str">
        <x:v>A crianca escreve uma regra geral em vez de decidir caso a caso.</x:v>
      </x:c>
      <x:c r="I11" s="46" t="str">
        <x:v>Alta</x:v>
      </x:c>
    </x:row>
    <x:row r="12" ht="51" customHeight="1">
      <x:c r="A12" s="31" t="str">
        <x:v>EF05</x:v>
      </x:c>
      <x:c r="B12" s="31" t="str">
        <x:v>EF05CO09</x:v>
      </x:c>
      <x:c r="C12" s="29" t="str">
        <x:v>A Guilda dos Criadores</x:v>
      </x:c>
      <x:c r="D12" s="29" t="str">
        <x:v>Quiz de cartas</x:v>
      </x:c>
      <x:c r="E12" s="29" t="str">
        <x:v>Tres cartas de atitude sao mais rasas que preencher credito e licenca de uma obra.</x:v>
      </x:c>
      <x:c r="F12" s="29" t="str">
        <x:v>Manter Curadoria com Creditos; garantir imagem, musica, video e texto com obras ficticias.</x:v>
      </x:c>
      <x:c r="G12" s="29" t="str">
        <x:v>Manter existente</x:v>
      </x:c>
      <x:c r="H12" s="29" t="str">
        <x:v>Sem custo de desenvolvimento e com melhor aplicacao de direitos autorais.</x:v>
      </x:c>
      <x:c r="I12" s="29" t="str">
        <x:v>Media</x:v>
      </x:c>
    </x:row>
    <x:row r="13" ht="51" customHeight="1">
      <x:c r="A13" s="31" t="str">
        <x:v>EF05</x:v>
      </x:c>
      <x:c r="B13" s="31" t="str">
        <x:v>EF05CO011</x:v>
      </x:c>
      <x:c r="C13" s="29" t="str">
        <x:v>Kit do Solucionador</x:v>
      </x:c>
      <x:c r="D13" s="29" t="str">
        <x:v>Quiz de cartas</x:v>
      </x:c>
      <x:c r="E13" s="29" t="str">
        <x:v>Uma carta certa nao explicita os diferentes criterios exigidos pela habilidade.</x:v>
      </x:c>
      <x:c r="F13" s="29" t="str">
        <x:v>Manter Escolha a Ferramenta Certa com balanca e chips de criterio.</x:v>
      </x:c>
      <x:c r="G13" s="29" t="str">
        <x:v>Manter existente</x:v>
      </x:c>
      <x:c r="H13" s="29" t="str">
        <x:v>Torna visivel a decisao multicriterio; padronizar internamente como EF05CO11 se desejado.</x:v>
      </x:c>
      <x:c r="I13" s="29" t="str">
        <x:v>Media</x:v>
      </x:c>
    </x:row>
    <x:row r="14" ht="51" customHeight="1">
      <x:c r="A14" s="31" t="str">
        <x:v>EF05</x:v>
      </x:c>
      <x:c r="B14" s="31" t="str">
        <x:v>EF05CO06</x:v>
      </x:c>
      <x:c r="C14" s="29" t="str">
        <x:v>Arremesso na Nuvem</x:v>
      </x:c>
      <x:c r="D14" s="29" t="str">
        <x:v>Par binario</x:v>
      </x:c>
      <x:c r="E14" s="29" t="str">
        <x:v>Duas cestas excluem armazenamento removivel e nao permitem backup em mais de um destino.</x:v>
      </x:c>
      <x:c r="F14" s="29" t="str">
        <x:v>Usar triagem direcional: esquerda local, cima removivel, direita nuvem; nivel 3 com dois destinos.</x:v>
      </x:c>
      <x:c r="G14" s="29" t="str">
        <x:v>Reformular</x:v>
      </x:c>
      <x:c r="H14" s="29" t="str">
        <x:v>Inclui as tres categorias oficiais e abre espaco para conceito de backup.</x:v>
      </x:c>
      <x:c r="I14" s="46" t="str">
        <x:v>Alta</x:v>
      </x:c>
    </x:row>
  </x:sheetData>
  <x:pageMargins left="0.7" right="0.7" top="0.75" bottom="0.75" header="0.3" footer="0.3"/>
  <x:tableParts count="1">
    <x:tablePart xmlns:r="http://schemas.openxmlformats.org/officeDocument/2006/relationships" r:id="Rb02ca08cdd624f9a"/>
  </x:tableParts>
</x:worksheet>
</file>